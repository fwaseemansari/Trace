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 Log" sheetId="1" state="visible" r:id="rId3"/>
    <sheet name="Screening" sheetId="2" state="visible" r:id="rId4"/>
    <sheet name="Full-Text" sheetId="3" state="visible" r:id="rId5"/>
    <sheet name="Extraction" sheetId="4" state="visible" r:id="rId6"/>
    <sheet name="QA Sco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<sst xmlns="http://schemas.openxmlformats.org/spreadsheetml/2006/main" count="124" uniqueCount="97">
  <si>
    <t xml:space="preserve">Database</t>
  </si>
  <si>
    <t xml:space="preserve">Search String Version</t>
  </si>
  <si>
    <t xml:space="preserve">Search Date</t>
  </si>
  <si>
    <t xml:space="preserve">Filters Applied</t>
  </si>
  <si>
    <t xml:space="preserve">Raw Hit Count</t>
  </si>
  <si>
    <t xml:space="preserve">Reviewer</t>
  </si>
  <si>
    <t xml:space="preserve">Notes</t>
  </si>
  <si>
    <t xml:space="preserve">IEEE Xplore</t>
  </si>
  <si>
    <t xml:space="preserve">v3</t>
  </si>
  <si>
    <t xml:space="preserve">2026-07-17</t>
  </si>
  <si>
    <t xml:space="preserve">Years 2021-2026</t>
  </si>
  <si>
    <t xml:space="preserve">Dania</t>
  </si>
  <si>
    <t xml:space="preserve">Exported in 4 batches (IEEE caps export at ~100 records/download)</t>
  </si>
  <si>
    <t xml:space="preserve">ACM Digital Library</t>
  </si>
  <si>
    <t xml:space="preserve">-</t>
  </si>
  <si>
    <t xml:space="preserve">Not searched</t>
  </si>
  <si>
    <t xml:space="preserve">Both</t>
  </si>
  <si>
    <t xml:space="preserve">No institutional access. Substituted with OpenAlex per supervisor guidance (use free/available sources or scripts).</t>
  </si>
  <si>
    <t xml:space="preserve">Scopus</t>
  </si>
  <si>
    <t xml:space="preserve">No institutional access. Substituted with OpenAlex; CrossRef also attempted as partial supplement (see below).</t>
  </si>
  <si>
    <t xml:space="preserve">Web of Science</t>
  </si>
  <si>
    <t xml:space="preserve">No institutional access. Substituted with OpenAlex; Semantic Scholar attempted as supplement (see below).</t>
  </si>
  <si>
    <t xml:space="preserve">SpringerLink (now Springer Nature Link)</t>
  </si>
  <si>
    <t xml:space="preserve">v3 (simplified, query-length limit)</t>
  </si>
  <si>
    <t xml:space="preserve">2026-07-18</t>
  </si>
  <si>
    <t xml:space="preserve">Years 2021-2026 (applied on platform)</t>
  </si>
  <si>
    <t xml:space="preserve">Faiqa</t>
  </si>
  <si>
    <t xml:space="preserve">Originally ~928 hits before year filter applied. CSV export has no abstract field (publisher export limitation).</t>
  </si>
  <si>
    <t xml:space="preserve">arXiv (cs.SE)</t>
  </si>
  <si>
    <t xml:space="preserve">v3 (simplified)</t>
  </si>
  <si>
    <t xml:space="preserve">Category: cs.SE</t>
  </si>
  <si>
    <t xml:space="preserve">Supplementary/preprint tag only - does not count toward IC1 (peer-reviewed). Kept for snowballing candidates.</t>
  </si>
  <si>
    <t xml:space="preserve">ScienceDirect</t>
  </si>
  <si>
    <t xml:space="preserve">Simplified (max 8 Boolean connectors per ScienceDirect limit)</t>
  </si>
  <si>
    <t xml:space="preserve">Years 2021-2026, no Article Type/Access Type filters applied (per protocol - filtering deferred to screening)</t>
  </si>
  <si>
    <t xml:space="preserve">Dania/Faiqa</t>
  </si>
  <si>
    <t xml:space="preserve">Added as a free-access supplementary source. Exported in 2 batches (100 + 22).</t>
  </si>
  <si>
    <t xml:space="preserve">OpenAlex</t>
  </si>
  <si>
    <t xml:space="preserve">v3 (API filter: title_and_abstract.search, pipe-OR / comma-AND)</t>
  </si>
  <si>
    <t xml:space="preserve">2026-07-19</t>
  </si>
  <si>
    <t xml:space="preserve">from_publication_date/to_publication_date 2021-2026, language:en</t>
  </si>
  <si>
    <t xml:space="preserve">Free API substitute for Scopus/WoS/ACM combined. Broad coverage - includes some non-scholarly items (e.g. podcast transcripts); expect higher screening attrition than other sources.</t>
  </si>
  <si>
    <t xml:space="preserve">CrossRef</t>
  </si>
  <si>
    <t xml:space="preserve">Approximated (relevance search, not true Boolean - see Search_Strings_v3 notes)</t>
  </si>
  <si>
    <t xml:space="preserve">from/until-pub-date 2021-2026, type:journal-article + proceedings-article</t>
  </si>
  <si>
    <t xml:space="preserve">Attempted - abandoned</t>
  </si>
  <si>
    <t xml:space="preserve">Persistent network/DNS connectivity issues over 2 days prevented a complete, reliable run. Not included in final combined dataset.</t>
  </si>
  <si>
    <t xml:space="preserve">Semantic Scholar</t>
  </si>
  <si>
    <t xml:space="preserve">Approximated (relevance search, not true Boolean)</t>
  </si>
  <si>
    <t xml:space="preserve">year 2021-2026</t>
  </si>
  <si>
    <t xml:space="preserve">Free no-key tier rate-limited too heavily to complete a run; API key request pending approval. Not included in final combined dataset.</t>
  </si>
  <si>
    <t xml:space="preserve">TOTAL (combined dataset, pre-dedup)</t>
  </si>
  <si>
    <t xml:space="preserve">Final combined source set: IEEE Xplore, Springer Nature Link, arXiv, ScienceDirect, OpenAlex. ACM/Scopus/WoS unavailable (no institutional access); CrossRef and Semantic Scholar attempted but abandoned due to persistent technical issues. This substitution is a documented protocol deviation - see SLR_Protocol_v2.docx Section 6-7 and note for Methodology/Threats to Validity chapter (Week 7).</t>
  </si>
  <si>
    <t xml:space="preserve">Study ID</t>
  </si>
  <si>
    <t xml:space="preserve">Citation (short)</t>
  </si>
  <si>
    <t xml:space="preserve">Source DB</t>
  </si>
  <si>
    <t xml:space="preserve">Dania Decision</t>
  </si>
  <si>
    <t xml:space="preserve">Faiqa Decision</t>
  </si>
  <si>
    <t xml:space="preserve">Agreement?</t>
  </si>
  <si>
    <t xml:space="preserve">Conflict Reason (if Maybe)</t>
  </si>
  <si>
    <t xml:space="preserve">Final Decision (post-reconciliation)</t>
  </si>
  <si>
    <t xml:space="preserve">Decision options: Include / Exclude / Maybe. Populate Dania/Faiqa columns from Rayyan's blinded export (Week 3, Day 1-3).</t>
  </si>
  <si>
    <t xml:space="preserve">Assigned Reviewer (A-L Dania / M-Z Faiqa)</t>
  </si>
  <si>
    <t xml:space="preserve">Full-Text Decision</t>
  </si>
  <si>
    <t xml:space="preserve">Exclusion Reason (if excluded)</t>
  </si>
  <si>
    <t xml:space="preserve">Spot-Checked By</t>
  </si>
  <si>
    <t xml:space="preserve">Spot-Check Agreement</t>
  </si>
  <si>
    <t xml:space="preserve">Populate after PDF retrieval, Week 4 Day 2-3. Include snowballed candidates once they clear title/abstract screening too.</t>
  </si>
  <si>
    <t xml:space="preserve">Citation</t>
  </si>
  <si>
    <t xml:space="preserve">Year</t>
  </si>
  <si>
    <t xml:space="preserve">Venue</t>
  </si>
  <si>
    <t xml:space="preserve">Study Type</t>
  </si>
  <si>
    <t xml:space="preserve">Context</t>
  </si>
  <si>
    <t xml:space="preserve">Sample Size (N)</t>
  </si>
  <si>
    <t xml:space="preserve">Participant Experience Level</t>
  </si>
  <si>
    <t xml:space="preserve">AI Tool(s) Studied</t>
  </si>
  <si>
    <t xml:space="preserve">Study Duration</t>
  </si>
  <si>
    <t xml:space="preserve">Task Type</t>
  </si>
  <si>
    <t xml:space="preserve">Outcome Metric(s)</t>
  </si>
  <si>
    <t xml:space="preserve">Effect Direction</t>
  </si>
  <si>
    <t xml:space="preserve">Effect Magnitude</t>
  </si>
  <si>
    <t xml:space="preserve">RQ Tag(s)</t>
  </si>
  <si>
    <t xml:space="preserve">Key Findings</t>
  </si>
  <si>
    <t xml:space="preserve">Limitations (author-stated)</t>
  </si>
  <si>
    <t xml:space="preserve">QA Score</t>
  </si>
  <si>
    <t xml:space="preserve">Fields match Appendix D exactly. Effect Direction: Positive/Negative/Mixed/Null. QA Score pulled from the QA Scores tab once scored.</t>
  </si>
  <si>
    <t xml:space="preserve">1. Research objectives/questions clearly stated?</t>
  </si>
  <si>
    <t xml:space="preserve">2. Study design appropriate for stated objectives?</t>
  </si>
  <si>
    <t xml:space="preserve">3. Sample size reported and reasonably justified?</t>
  </si>
  <si>
    <t xml:space="preserve">4. Comparison/control condition or clear baseline present?</t>
  </si>
  <si>
    <t xml:space="preserve">5. Data collection methods clearly &amp; reproducibly described?</t>
  </si>
  <si>
    <t xml:space="preserve">6. Outcome measures/metrics clearly defined and valid?</t>
  </si>
  <si>
    <t xml:space="preserve">7. Threats to validity / limitations explicitly discussed?</t>
  </si>
  <si>
    <t xml:space="preserve">8. Findings clearly linked back to stated RQs/objectives?</t>
  </si>
  <si>
    <t xml:space="preserve">Total (0-8)</t>
  </si>
  <si>
    <t xml:space="preserve">Band</t>
  </si>
  <si>
    <t xml:space="preserve">Each item scored 0 / 0.5 / 1 (Appendix C). Total and Band calculate automatically. Discuss/reconcile any item with &gt;1 point difference between reviewers before finalizing.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</si>
</sst>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trike val="true"/>
      <sz val="10"/>
      <color rgb="FFA6A6A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0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n">
        <v>391</v>
      </c>
      <c r="F2" s="3" t="s">
        <v>11</v>
      </c>
      <c r="G2" s="3" t="s">
        <v>12</v>
      </c>
    </row>
    <row r="3" customFormat="false" ht="30" hidden="false" customHeight="true" outlineLevel="0" collapsed="false">
      <c r="A3" s="3" t="s">
        <v>13</v>
      </c>
      <c r="B3" s="4" t="s">
        <v>14</v>
      </c>
      <c r="C3" s="4" t="s">
        <v>14</v>
      </c>
      <c r="D3" s="4" t="s">
        <v>14</v>
      </c>
      <c r="E3" s="4" t="s">
        <v>15</v>
      </c>
      <c r="F3" s="3" t="s">
        <v>16</v>
      </c>
      <c r="G3" s="5" t="s">
        <v>17</v>
      </c>
    </row>
    <row r="4" customFormat="false" ht="30" hidden="false" customHeight="true" outlineLevel="0" collapsed="false">
      <c r="A4" s="3" t="s">
        <v>18</v>
      </c>
      <c r="B4" s="4" t="s">
        <v>14</v>
      </c>
      <c r="C4" s="4" t="s">
        <v>14</v>
      </c>
      <c r="D4" s="4" t="s">
        <v>14</v>
      </c>
      <c r="E4" s="4" t="s">
        <v>15</v>
      </c>
      <c r="F4" s="3" t="s">
        <v>16</v>
      </c>
      <c r="G4" s="5" t="s">
        <v>19</v>
      </c>
    </row>
    <row r="5" customFormat="false" ht="30" hidden="false" customHeight="true" outlineLevel="0" collapsed="false">
      <c r="A5" s="3" t="s">
        <v>20</v>
      </c>
      <c r="B5" s="4" t="s">
        <v>14</v>
      </c>
      <c r="C5" s="4" t="s">
        <v>14</v>
      </c>
      <c r="D5" s="4" t="s">
        <v>14</v>
      </c>
      <c r="E5" s="4" t="s">
        <v>15</v>
      </c>
      <c r="F5" s="3" t="s">
        <v>16</v>
      </c>
      <c r="G5" s="5" t="s">
        <v>21</v>
      </c>
    </row>
    <row r="6" customFormat="false" ht="30" hidden="false" customHeight="tru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n">
        <v>293</v>
      </c>
      <c r="F6" s="3" t="s">
        <v>26</v>
      </c>
      <c r="G6" s="3" t="s">
        <v>27</v>
      </c>
    </row>
    <row r="7" customFormat="false" ht="30" hidden="false" customHeight="true" outlineLevel="0" collapsed="false">
      <c r="A7" s="3" t="s">
        <v>28</v>
      </c>
      <c r="B7" s="3" t="s">
        <v>29</v>
      </c>
      <c r="C7" s="3" t="s">
        <v>9</v>
      </c>
      <c r="D7" s="3" t="s">
        <v>30</v>
      </c>
      <c r="E7" s="3" t="n">
        <v>15</v>
      </c>
      <c r="F7" s="3" t="s">
        <v>11</v>
      </c>
      <c r="G7" s="3" t="s">
        <v>31</v>
      </c>
    </row>
    <row r="8" customFormat="false" ht="30" hidden="false" customHeight="true" outlineLevel="0" collapsed="false">
      <c r="A8" s="6" t="s">
        <v>32</v>
      </c>
      <c r="B8" s="6" t="s">
        <v>33</v>
      </c>
      <c r="C8" s="6" t="s">
        <v>24</v>
      </c>
      <c r="D8" s="6" t="s">
        <v>34</v>
      </c>
      <c r="E8" s="6" t="n">
        <v>122</v>
      </c>
      <c r="F8" s="6" t="s">
        <v>35</v>
      </c>
      <c r="G8" s="6" t="s">
        <v>36</v>
      </c>
    </row>
    <row r="9" customFormat="false" ht="30" hidden="false" customHeight="true" outlineLevel="0" collapsed="false">
      <c r="A9" s="3" t="s">
        <v>37</v>
      </c>
      <c r="B9" s="6" t="s">
        <v>38</v>
      </c>
      <c r="C9" s="6" t="s">
        <v>39</v>
      </c>
      <c r="D9" s="6" t="s">
        <v>40</v>
      </c>
      <c r="E9" s="6" t="n">
        <v>1024</v>
      </c>
      <c r="F9" s="6" t="s">
        <v>35</v>
      </c>
      <c r="G9" s="6" t="s">
        <v>41</v>
      </c>
    </row>
    <row r="10" customFormat="false" ht="30" hidden="false" customHeight="true" outlineLevel="0" collapsed="false">
      <c r="A10" s="6" t="s">
        <v>42</v>
      </c>
      <c r="B10" s="7" t="s">
        <v>43</v>
      </c>
      <c r="C10" s="7" t="s">
        <v>39</v>
      </c>
      <c r="D10" s="7" t="s">
        <v>44</v>
      </c>
      <c r="E10" s="7" t="s">
        <v>45</v>
      </c>
      <c r="F10" s="6" t="s">
        <v>11</v>
      </c>
      <c r="G10" s="8" t="s">
        <v>46</v>
      </c>
    </row>
    <row r="11" customFormat="false" ht="30" hidden="false" customHeight="true" outlineLevel="0" collapsed="false">
      <c r="A11" s="6" t="s">
        <v>47</v>
      </c>
      <c r="B11" s="7" t="s">
        <v>48</v>
      </c>
      <c r="C11" s="7" t="s">
        <v>39</v>
      </c>
      <c r="D11" s="7" t="s">
        <v>49</v>
      </c>
      <c r="E11" s="7" t="s">
        <v>45</v>
      </c>
      <c r="F11" s="6" t="s">
        <v>11</v>
      </c>
      <c r="G11" s="8" t="s">
        <v>50</v>
      </c>
    </row>
    <row r="13" customFormat="false" ht="15" hidden="false" customHeight="false" outlineLevel="0" collapsed="false">
      <c r="A13" s="9" t="s">
        <v>51</v>
      </c>
      <c r="E13" s="9" t="n">
        <v>1845</v>
      </c>
    </row>
    <row r="15" customFormat="false" ht="15" hidden="false" customHeight="false" outlineLevel="0" collapsed="false">
      <c r="A15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8" min="7" style="1" width="26"/>
  </cols>
  <sheetData>
    <row r="1" customFormat="false" ht="30" hidden="false" customHeight="true" outlineLevel="0" collapsed="false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 t="str">
        <f aca="false">IF(D2=E2,"Yes","No")</f>
        <v>Yes</v>
      </c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 t="str">
        <f aca="false">IF(D3=E3,"Yes","No")</f>
        <v>Yes</v>
      </c>
      <c r="G3" s="3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 t="str">
        <f aca="false">IF(D4=E4,"Yes","No")</f>
        <v>Yes</v>
      </c>
      <c r="G4" s="3"/>
      <c r="H4" s="3"/>
    </row>
    <row r="5" customFormat="false" ht="15" hidden="false" customHeight="true" outlineLevel="0" collapsed="false">
      <c r="A5" s="3"/>
      <c r="B5" s="3"/>
      <c r="C5" s="3"/>
      <c r="D5" s="3"/>
      <c r="E5" s="3"/>
      <c r="F5" s="3" t="str">
        <f aca="false">IF(D5=E5,"Yes","No")</f>
        <v>Yes</v>
      </c>
      <c r="G5" s="3"/>
      <c r="H5" s="3"/>
    </row>
    <row r="6" customFormat="false" ht="15" hidden="false" customHeight="true" outlineLevel="0" collapsed="false">
      <c r="A6" s="3"/>
      <c r="B6" s="3"/>
      <c r="C6" s="3"/>
      <c r="D6" s="3"/>
      <c r="E6" s="3"/>
      <c r="F6" s="3" t="str">
        <f aca="false">IF(D6=E6,"Yes","No")</f>
        <v>Yes</v>
      </c>
      <c r="G6" s="3"/>
      <c r="H6" s="3"/>
    </row>
    <row r="7" customFormat="false" ht="15" hidden="false" customHeight="true" outlineLevel="0" collapsed="false">
      <c r="A7" s="3"/>
      <c r="B7" s="3"/>
      <c r="C7" s="3"/>
      <c r="D7" s="3"/>
      <c r="E7" s="3"/>
      <c r="F7" s="3" t="str">
        <f aca="false">IF(D7=E7,"Yes","No")</f>
        <v>Yes</v>
      </c>
      <c r="G7" s="3"/>
      <c r="H7" s="3"/>
    </row>
    <row r="8" customFormat="false" ht="15" hidden="false" customHeight="true" outlineLevel="0" collapsed="false">
      <c r="A8" s="3"/>
      <c r="B8" s="3"/>
      <c r="C8" s="3"/>
      <c r="D8" s="3"/>
      <c r="E8" s="3"/>
      <c r="F8" s="3" t="str">
        <f aca="false">IF(D8=E8,"Yes","No")</f>
        <v>Yes</v>
      </c>
      <c r="G8" s="3"/>
      <c r="H8" s="3"/>
    </row>
    <row r="9" customFormat="false" ht="15" hidden="false" customHeight="true" outlineLevel="0" collapsed="false">
      <c r="A9" s="3"/>
      <c r="B9" s="3"/>
      <c r="C9" s="3"/>
      <c r="D9" s="3"/>
      <c r="E9" s="3"/>
      <c r="F9" s="3" t="str">
        <f aca="false">IF(D9=E9,"Yes","No")</f>
        <v>Yes</v>
      </c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 t="str">
        <f aca="false">IF(D10=E10,"Yes","No")</f>
        <v>Yes</v>
      </c>
      <c r="G10" s="3"/>
      <c r="H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 t="str">
        <f aca="false">IF(D11=E11,"Yes","No")</f>
        <v>Yes</v>
      </c>
      <c r="G11" s="3"/>
      <c r="H11" s="3"/>
    </row>
    <row r="13" customFormat="false" ht="15" hidden="false" customHeight="true" outlineLevel="0" collapsed="false">
      <c r="A13" s="1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7" min="6" style="1" width="16"/>
  </cols>
  <sheetData>
    <row r="1" customFormat="false" ht="30" hidden="false" customHeight="true" outlineLevel="0" collapsed="false">
      <c r="A1" s="2" t="s">
        <v>53</v>
      </c>
      <c r="B1" s="2" t="s">
        <v>54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</row>
    <row r="13" customFormat="false" ht="15" hidden="false" customHeight="true" outlineLevel="0" collapsed="false">
      <c r="A13" s="1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4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34"/>
    <col collapsed="false" customWidth="true" hidden="false" outlineLevel="0" max="17" min="17" style="1" width="30"/>
    <col collapsed="false" customWidth="true" hidden="false" outlineLevel="0" max="18" min="18" style="1" width="10"/>
  </cols>
  <sheetData>
    <row r="1" customFormat="false" ht="30" hidden="false" customHeight="true" outlineLevel="0" collapsed="false">
      <c r="A1" s="2" t="s">
        <v>53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3" customFormat="false" ht="15" hidden="false" customHeight="true" outlineLevel="0" collapsed="false">
      <c r="A13" s="1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10" min="3" style="1" width="16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0"/>
  </cols>
  <sheetData>
    <row r="1" customFormat="false" ht="30" hidden="false" customHeight="true" outlineLevel="0" collapsed="false">
      <c r="A1" s="2" t="s">
        <v>53</v>
      </c>
      <c r="B1" s="2" t="s">
        <v>54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5</v>
      </c>
      <c r="M1" s="2" t="s">
        <v>95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 t="n">
        <f aca="false">SUM(C2:J2)</f>
        <v>0</v>
      </c>
      <c r="L2" s="3"/>
      <c r="M2" s="3" t="str">
        <f aca="false">IF(K2&gt;=6.5,"High",IF(K2&gt;=4,"Medium","Low"))</f>
        <v>Low</v>
      </c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 t="n">
        <f aca="false">SUM(C3:J3)</f>
        <v>0</v>
      </c>
      <c r="L3" s="3"/>
      <c r="M3" s="3" t="str">
        <f aca="false">IF(K3&gt;=6.5,"High",IF(K3&gt;=4,"Medium","Low"))</f>
        <v>Low</v>
      </c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 t="n">
        <f aca="false">SUM(C4:J4)</f>
        <v>0</v>
      </c>
      <c r="L4" s="3"/>
      <c r="M4" s="3" t="str">
        <f aca="false">IF(K4&gt;=6.5,"High",IF(K4&gt;=4,"Medium","Low"))</f>
        <v>Low</v>
      </c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 t="n">
        <f aca="false">SUM(C5:J5)</f>
        <v>0</v>
      </c>
      <c r="L5" s="3"/>
      <c r="M5" s="3" t="str">
        <f aca="false">IF(K5&gt;=6.5,"High",IF(K5&gt;=4,"Medium","Low"))</f>
        <v>Low</v>
      </c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 t="n">
        <f aca="false">SUM(C6:J6)</f>
        <v>0</v>
      </c>
      <c r="L6" s="3"/>
      <c r="M6" s="3" t="str">
        <f aca="false">IF(K6&gt;=6.5,"High",IF(K6&gt;=4,"Medium","Low"))</f>
        <v>Low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 t="n">
        <f aca="false">SUM(C7:J7)</f>
        <v>0</v>
      </c>
      <c r="L7" s="3"/>
      <c r="M7" s="3" t="str">
        <f aca="false">IF(K7&gt;=6.5,"High",IF(K7&gt;=4,"Medium","Low"))</f>
        <v>Low</v>
      </c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 t="n">
        <f aca="false">SUM(C8:J8)</f>
        <v>0</v>
      </c>
      <c r="L8" s="3"/>
      <c r="M8" s="3" t="str">
        <f aca="false">IF(K8&gt;=6.5,"High",IF(K8&gt;=4,"Medium","Low"))</f>
        <v>Low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 t="n">
        <f aca="false">SUM(C9:J9)</f>
        <v>0</v>
      </c>
      <c r="L9" s="3"/>
      <c r="M9" s="3" t="str">
        <f aca="false">IF(K9&gt;=6.5,"High",IF(K9&gt;=4,"Medium","Low"))</f>
        <v>Low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 t="n">
        <f aca="false">SUM(C10:J10)</f>
        <v>0</v>
      </c>
      <c r="L10" s="3"/>
      <c r="M10" s="3" t="str">
        <f aca="false">IF(K10&gt;=6.5,"High",IF(K10&gt;=4,"Medium","Low"))</f>
        <v>Low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 t="n">
        <f aca="false">SUM(C11:J11)</f>
        <v>0</v>
      </c>
      <c r="L11" s="3"/>
      <c r="M11" s="3" t="str">
        <f aca="false">IF(K11&gt;=6.5,"High",IF(K11&gt;=4,"Medium","Low"))</f>
        <v>Low</v>
      </c>
    </row>
    <row r="13" customFormat="false" ht="15" hidden="false" customHeight="true" outlineLevel="0" collapsed="false">
      <c r="A13" s="1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2026-07-13T08:49:07Z</dcterms:created>
  <dc:creator>openpyxl</dc:creator>
  <dc:description/>
  <dc:language>en-US</dc:language>
  <cp:lastModifiedBy/>
  <dcterms:modified xsi:type="dcterms:W3CDTF">2026-07-19T13:18:50Z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